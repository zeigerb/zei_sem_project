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ge\Documents\School\ENR_PhD_Courses\6707_EntTech\GitRepo\zei_sem_project\"/>
    </mc:Choice>
  </mc:AlternateContent>
  <xr:revisionPtr revIDLastSave="0" documentId="13_ncr:1_{AE0F8C7D-10AB-4CAB-8CD1-60AFDBCDFD13}" xr6:coauthVersionLast="47" xr6:coauthVersionMax="47" xr10:uidLastSave="{00000000-0000-0000-0000-000000000000}"/>
  <bookViews>
    <workbookView xWindow="-3785" yWindow="-10015" windowWidth="13715" windowHeight="8740" activeTab="1" xr2:uid="{073B1799-5507-4E30-ABBC-AE747C6DE9F0}"/>
  </bookViews>
  <sheets>
    <sheet name="count_data" sheetId="1" r:id="rId1"/>
    <sheet name="Meta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J2" i="1"/>
  <c r="I2" i="1"/>
</calcChain>
</file>

<file path=xl/sharedStrings.xml><?xml version="1.0" encoding="utf-8"?>
<sst xmlns="http://schemas.openxmlformats.org/spreadsheetml/2006/main" count="152" uniqueCount="28">
  <si>
    <t>sample</t>
  </si>
  <si>
    <t>Jackson</t>
  </si>
  <si>
    <t>Wooster</t>
  </si>
  <si>
    <t>Facility</t>
  </si>
  <si>
    <t>Pasture</t>
  </si>
  <si>
    <t>Variable</t>
  </si>
  <si>
    <t>Description</t>
  </si>
  <si>
    <t>Categorical; the property on which the trap was placed</t>
  </si>
  <si>
    <t>Categorical; whether the trap was placed near cattle facilities or pasture</t>
  </si>
  <si>
    <t>Date; day on which the trap container was collected/emptied</t>
  </si>
  <si>
    <t>Integer; number of T. quinquevittatus flies collected from the container</t>
  </si>
  <si>
    <t>Integer; the number of the sampling period over which the collection takes place. A unique number is given to each collection date.</t>
  </si>
  <si>
    <t>site</t>
  </si>
  <si>
    <t>type</t>
  </si>
  <si>
    <t>date</t>
  </si>
  <si>
    <t>count</t>
  </si>
  <si>
    <t>rep</t>
  </si>
  <si>
    <t>AvgTemp</t>
  </si>
  <si>
    <t>AvgCDD</t>
  </si>
  <si>
    <t>AvgGDD</t>
  </si>
  <si>
    <t>cmCDD</t>
  </si>
  <si>
    <t>cmGDD</t>
  </si>
  <si>
    <t>location</t>
  </si>
  <si>
    <t>Double; average cooling degree days at the given site over the previous 2 weeks</t>
  </si>
  <si>
    <t>Double; average growing degree days at the given site over the previous 2 weeks</t>
  </si>
  <si>
    <t>Double; average air temperature (Celsius) at the given site over the previous 2 weeks</t>
  </si>
  <si>
    <t>Double; sum of Growing Degree Days over the previous two weeks</t>
  </si>
  <si>
    <t>Double; sum of Cooling Degree Days over the previous two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</si>
</sst>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FC16-37D7-447F-816D-31211A6696CB}">
  <dimension ref="A1:J61"/>
  <sheetViews>
    <sheetView workbookViewId="0">
      <selection activeCell="F1" sqref="F1:F1048576"/>
    </sheetView>
  </sheetViews>
  <sheetFormatPr defaultRowHeight="14.5" x14ac:dyDescent="0.35"/>
  <cols>
    <col min="4" max="4" width="10.54296875" customWidth="1"/>
  </cols>
  <sheetData>
    <row r="1" spans="1:10" x14ac:dyDescent="0.35">
      <c r="A1" t="s">
        <v>16</v>
      </c>
      <c r="B1" t="s">
        <v>12</v>
      </c>
      <c r="C1" t="s">
        <v>22</v>
      </c>
      <c r="D1" s="1" t="s">
        <v>14</v>
      </c>
      <c r="E1" t="s">
        <v>15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</row>
    <row r="2" spans="1:10" x14ac:dyDescent="0.35">
      <c r="A2">
        <v>1</v>
      </c>
      <c r="B2" t="s">
        <v>1</v>
      </c>
      <c r="C2" t="s">
        <v>3</v>
      </c>
      <c r="D2" s="1">
        <v>45121</v>
      </c>
      <c r="E2">
        <v>85</v>
      </c>
      <c r="F2" s="3">
        <v>23.428571428571427</v>
      </c>
      <c r="G2" s="3">
        <v>9.1142857142857139</v>
      </c>
      <c r="H2" s="3">
        <v>24.114285714285717</v>
      </c>
      <c r="I2">
        <f>G2*14</f>
        <v>127.6</v>
      </c>
      <c r="J2">
        <f>H2*14</f>
        <v>337.6</v>
      </c>
    </row>
    <row r="3" spans="1:10" x14ac:dyDescent="0.35">
      <c r="A3">
        <v>2</v>
      </c>
      <c r="B3" t="s">
        <v>1</v>
      </c>
      <c r="C3" t="s">
        <v>3</v>
      </c>
      <c r="D3" s="1">
        <v>45135</v>
      </c>
      <c r="E3">
        <v>56</v>
      </c>
      <c r="F3" s="3">
        <v>23.06428571428571</v>
      </c>
      <c r="G3" s="3">
        <v>8.4571428571428573</v>
      </c>
      <c r="H3" s="3">
        <v>23.457142857142856</v>
      </c>
      <c r="I3">
        <f t="shared" ref="I3:I61" si="0">G3*14</f>
        <v>118.4</v>
      </c>
      <c r="J3">
        <f t="shared" ref="J3:J61" si="1">H3*14</f>
        <v>328.4</v>
      </c>
    </row>
    <row r="4" spans="1:10" x14ac:dyDescent="0.35">
      <c r="A4">
        <v>3</v>
      </c>
      <c r="B4" t="s">
        <v>1</v>
      </c>
      <c r="C4" t="s">
        <v>3</v>
      </c>
      <c r="D4" s="1">
        <v>45149</v>
      </c>
      <c r="E4">
        <v>16</v>
      </c>
      <c r="F4" s="3">
        <v>22.385714285714283</v>
      </c>
      <c r="G4" s="3">
        <v>7.2428571428571429</v>
      </c>
      <c r="H4" s="3">
        <v>22.242857142857137</v>
      </c>
      <c r="I4">
        <f t="shared" si="0"/>
        <v>101.4</v>
      </c>
      <c r="J4">
        <f t="shared" si="1"/>
        <v>311.39999999999992</v>
      </c>
    </row>
    <row r="5" spans="1:10" x14ac:dyDescent="0.35">
      <c r="A5">
        <v>4</v>
      </c>
      <c r="B5" t="s">
        <v>1</v>
      </c>
      <c r="C5" t="s">
        <v>3</v>
      </c>
      <c r="D5" s="1">
        <v>45163</v>
      </c>
      <c r="E5">
        <v>8</v>
      </c>
      <c r="F5" s="3">
        <v>22.728571428571428</v>
      </c>
      <c r="G5" s="3">
        <v>7.8785714285714272</v>
      </c>
      <c r="H5" s="3">
        <v>22.857142857142861</v>
      </c>
      <c r="I5">
        <f t="shared" si="0"/>
        <v>110.29999999999998</v>
      </c>
      <c r="J5">
        <f t="shared" si="1"/>
        <v>320.00000000000006</v>
      </c>
    </row>
    <row r="6" spans="1:10" x14ac:dyDescent="0.35">
      <c r="A6">
        <v>5</v>
      </c>
      <c r="B6" t="s">
        <v>1</v>
      </c>
      <c r="C6" t="s">
        <v>3</v>
      </c>
      <c r="D6" s="1">
        <v>45177</v>
      </c>
      <c r="E6">
        <v>2</v>
      </c>
      <c r="F6" s="3">
        <v>21.485714285714291</v>
      </c>
      <c r="G6" s="3">
        <v>5.8642857142857148</v>
      </c>
      <c r="H6" s="3">
        <v>20.607142857142858</v>
      </c>
      <c r="I6">
        <f t="shared" si="0"/>
        <v>82.100000000000009</v>
      </c>
      <c r="J6">
        <f t="shared" si="1"/>
        <v>288.5</v>
      </c>
    </row>
    <row r="7" spans="1:10" x14ac:dyDescent="0.35">
      <c r="A7">
        <v>6</v>
      </c>
      <c r="B7" t="s">
        <v>1</v>
      </c>
      <c r="C7" t="s">
        <v>3</v>
      </c>
      <c r="D7" s="1">
        <v>45191</v>
      </c>
      <c r="E7">
        <v>0</v>
      </c>
      <c r="F7" s="3">
        <v>17.399999999999999</v>
      </c>
      <c r="G7" s="3">
        <v>0.77857142857142847</v>
      </c>
      <c r="H7" s="3">
        <v>13.264285714285714</v>
      </c>
      <c r="I7">
        <f t="shared" si="0"/>
        <v>10.899999999999999</v>
      </c>
      <c r="J7">
        <f t="shared" si="1"/>
        <v>185.7</v>
      </c>
    </row>
    <row r="8" spans="1:10" x14ac:dyDescent="0.35">
      <c r="A8">
        <v>7</v>
      </c>
      <c r="B8" t="s">
        <v>1</v>
      </c>
      <c r="C8" t="s">
        <v>3</v>
      </c>
      <c r="D8" s="1">
        <v>45205</v>
      </c>
      <c r="E8">
        <v>0</v>
      </c>
      <c r="F8" s="3">
        <v>18.271428571428572</v>
      </c>
      <c r="G8" s="3">
        <v>0.6785714285714286</v>
      </c>
      <c r="H8" s="3">
        <v>14.835714285714287</v>
      </c>
      <c r="I8">
        <f t="shared" si="0"/>
        <v>9.5</v>
      </c>
      <c r="J8">
        <f t="shared" si="1"/>
        <v>207.70000000000002</v>
      </c>
    </row>
    <row r="9" spans="1:10" x14ac:dyDescent="0.35">
      <c r="A9">
        <v>8</v>
      </c>
      <c r="B9" t="s">
        <v>1</v>
      </c>
      <c r="C9" t="s">
        <v>3</v>
      </c>
      <c r="D9" s="1">
        <v>45219</v>
      </c>
      <c r="E9">
        <v>0</v>
      </c>
      <c r="F9" s="3">
        <v>11.450000000000001</v>
      </c>
      <c r="G9" s="3">
        <v>0</v>
      </c>
      <c r="H9" s="3">
        <v>3.2071428571428577</v>
      </c>
      <c r="I9">
        <f t="shared" si="0"/>
        <v>0</v>
      </c>
      <c r="J9">
        <f t="shared" si="1"/>
        <v>44.900000000000006</v>
      </c>
    </row>
    <row r="10" spans="1:10" x14ac:dyDescent="0.35">
      <c r="A10">
        <v>9</v>
      </c>
      <c r="B10" t="s">
        <v>1</v>
      </c>
      <c r="C10" t="s">
        <v>3</v>
      </c>
      <c r="D10" s="1">
        <v>45233</v>
      </c>
      <c r="E10">
        <v>0</v>
      </c>
      <c r="F10" s="3">
        <v>10.1</v>
      </c>
      <c r="G10" s="3">
        <v>0</v>
      </c>
      <c r="H10" s="3">
        <v>4.3071428571428578</v>
      </c>
      <c r="I10">
        <f t="shared" si="0"/>
        <v>0</v>
      </c>
      <c r="J10">
        <f t="shared" si="1"/>
        <v>60.300000000000011</v>
      </c>
    </row>
    <row r="11" spans="1:10" x14ac:dyDescent="0.35">
      <c r="A11">
        <v>10</v>
      </c>
      <c r="B11" t="s">
        <v>1</v>
      </c>
      <c r="C11" t="s">
        <v>3</v>
      </c>
      <c r="D11" s="1">
        <v>45408</v>
      </c>
      <c r="E11">
        <v>0</v>
      </c>
      <c r="F11" s="3">
        <v>14.185714285714285</v>
      </c>
      <c r="G11" s="3">
        <v>1.0285714285714287</v>
      </c>
      <c r="H11" s="3">
        <v>8.6142857142857139</v>
      </c>
      <c r="I11">
        <f t="shared" si="0"/>
        <v>14.400000000000002</v>
      </c>
      <c r="J11">
        <f t="shared" si="1"/>
        <v>120.6</v>
      </c>
    </row>
    <row r="12" spans="1:10" x14ac:dyDescent="0.35">
      <c r="A12">
        <v>11</v>
      </c>
      <c r="B12" t="s">
        <v>1</v>
      </c>
      <c r="C12" t="s">
        <v>3</v>
      </c>
      <c r="D12" s="1">
        <v>45422</v>
      </c>
      <c r="E12">
        <v>0</v>
      </c>
      <c r="F12" s="3">
        <v>19.314285714285713</v>
      </c>
      <c r="G12" s="3">
        <v>2.4428571428571426</v>
      </c>
      <c r="H12" s="3">
        <v>16.735714285714284</v>
      </c>
      <c r="I12">
        <f t="shared" si="0"/>
        <v>34.199999999999996</v>
      </c>
      <c r="J12">
        <f t="shared" si="1"/>
        <v>234.29999999999998</v>
      </c>
    </row>
    <row r="13" spans="1:10" x14ac:dyDescent="0.35">
      <c r="A13">
        <v>12</v>
      </c>
      <c r="B13" t="s">
        <v>1</v>
      </c>
      <c r="C13" t="s">
        <v>3</v>
      </c>
      <c r="D13" s="1">
        <v>45436</v>
      </c>
      <c r="E13">
        <v>2</v>
      </c>
      <c r="F13" s="3">
        <v>19.05</v>
      </c>
      <c r="G13" s="3">
        <v>2.8142857142857141</v>
      </c>
      <c r="H13" s="3">
        <v>16.264285714285712</v>
      </c>
      <c r="I13">
        <f t="shared" si="0"/>
        <v>39.4</v>
      </c>
      <c r="J13">
        <f t="shared" si="1"/>
        <v>227.7</v>
      </c>
    </row>
    <row r="14" spans="1:10" x14ac:dyDescent="0.35">
      <c r="A14">
        <v>13</v>
      </c>
      <c r="B14" t="s">
        <v>1</v>
      </c>
      <c r="C14" t="s">
        <v>3</v>
      </c>
      <c r="D14" s="1">
        <v>45450</v>
      </c>
      <c r="E14">
        <v>3</v>
      </c>
      <c r="F14" s="3">
        <v>19.457142857142859</v>
      </c>
      <c r="G14" s="3">
        <v>3.4499999999999997</v>
      </c>
      <c r="H14" s="3">
        <v>16.971428571428572</v>
      </c>
      <c r="I14">
        <f t="shared" si="0"/>
        <v>48.3</v>
      </c>
      <c r="J14">
        <f t="shared" si="1"/>
        <v>237.6</v>
      </c>
    </row>
    <row r="15" spans="1:10" x14ac:dyDescent="0.35">
      <c r="A15">
        <v>14</v>
      </c>
      <c r="B15" t="s">
        <v>1</v>
      </c>
      <c r="C15" t="s">
        <v>3</v>
      </c>
      <c r="D15" s="1">
        <v>45464</v>
      </c>
      <c r="E15">
        <v>17</v>
      </c>
      <c r="F15" s="3">
        <v>21.571428571428573</v>
      </c>
      <c r="G15" s="3">
        <v>6.5428571428571427</v>
      </c>
      <c r="H15" s="3">
        <v>20.75714285714286</v>
      </c>
      <c r="I15">
        <f t="shared" si="0"/>
        <v>91.6</v>
      </c>
      <c r="J15">
        <f t="shared" si="1"/>
        <v>290.60000000000002</v>
      </c>
    </row>
    <row r="16" spans="1:10" x14ac:dyDescent="0.35">
      <c r="A16">
        <v>15</v>
      </c>
      <c r="B16" t="s">
        <v>1</v>
      </c>
      <c r="C16" t="s">
        <v>3</v>
      </c>
      <c r="D16" s="1">
        <v>45478</v>
      </c>
      <c r="E16">
        <v>31</v>
      </c>
      <c r="F16" s="3">
        <v>23.857142857142858</v>
      </c>
      <c r="G16" s="3">
        <v>9.9785714285714295</v>
      </c>
      <c r="H16" s="3">
        <v>24.892857142857142</v>
      </c>
      <c r="I16">
        <f t="shared" si="0"/>
        <v>139.70000000000002</v>
      </c>
      <c r="J16">
        <f t="shared" si="1"/>
        <v>348.5</v>
      </c>
    </row>
    <row r="17" spans="1:10" x14ac:dyDescent="0.35">
      <c r="A17">
        <v>1</v>
      </c>
      <c r="B17" t="s">
        <v>1</v>
      </c>
      <c r="C17" t="s">
        <v>4</v>
      </c>
      <c r="D17" s="1">
        <v>45121</v>
      </c>
      <c r="E17">
        <v>65</v>
      </c>
      <c r="F17" s="3">
        <v>23.428571428571427</v>
      </c>
      <c r="G17" s="3">
        <v>9.1142857142857139</v>
      </c>
      <c r="H17" s="3">
        <v>24.114285714285717</v>
      </c>
      <c r="I17">
        <f t="shared" si="0"/>
        <v>127.6</v>
      </c>
      <c r="J17">
        <f t="shared" si="1"/>
        <v>337.6</v>
      </c>
    </row>
    <row r="18" spans="1:10" x14ac:dyDescent="0.35">
      <c r="A18">
        <v>2</v>
      </c>
      <c r="B18" t="s">
        <v>1</v>
      </c>
      <c r="C18" t="s">
        <v>4</v>
      </c>
      <c r="D18" s="1">
        <v>45135</v>
      </c>
      <c r="E18">
        <v>159</v>
      </c>
      <c r="F18" s="3">
        <v>23.06428571428571</v>
      </c>
      <c r="G18" s="3">
        <v>8.4571428571428573</v>
      </c>
      <c r="H18" s="3">
        <v>23.457142857142856</v>
      </c>
      <c r="I18">
        <f t="shared" si="0"/>
        <v>118.4</v>
      </c>
      <c r="J18">
        <f t="shared" si="1"/>
        <v>328.4</v>
      </c>
    </row>
    <row r="19" spans="1:10" x14ac:dyDescent="0.35">
      <c r="A19">
        <v>3</v>
      </c>
      <c r="B19" t="s">
        <v>1</v>
      </c>
      <c r="C19" t="s">
        <v>4</v>
      </c>
      <c r="D19" s="1">
        <v>45149</v>
      </c>
      <c r="E19">
        <v>25</v>
      </c>
      <c r="F19" s="3">
        <v>22.385714285714283</v>
      </c>
      <c r="G19" s="3">
        <v>7.2428571428571429</v>
      </c>
      <c r="H19" s="3">
        <v>22.242857142857137</v>
      </c>
      <c r="I19">
        <f t="shared" si="0"/>
        <v>101.4</v>
      </c>
      <c r="J19">
        <f t="shared" si="1"/>
        <v>311.39999999999992</v>
      </c>
    </row>
    <row r="20" spans="1:10" x14ac:dyDescent="0.35">
      <c r="A20">
        <v>4</v>
      </c>
      <c r="B20" t="s">
        <v>1</v>
      </c>
      <c r="C20" t="s">
        <v>4</v>
      </c>
      <c r="D20" s="1">
        <v>45163</v>
      </c>
      <c r="E20">
        <v>15</v>
      </c>
      <c r="F20" s="3">
        <v>22.728571428571428</v>
      </c>
      <c r="G20" s="3">
        <v>7.8785714285714272</v>
      </c>
      <c r="H20" s="3">
        <v>22.857142857142861</v>
      </c>
      <c r="I20">
        <f t="shared" si="0"/>
        <v>110.29999999999998</v>
      </c>
      <c r="J20">
        <f t="shared" si="1"/>
        <v>320.00000000000006</v>
      </c>
    </row>
    <row r="21" spans="1:10" x14ac:dyDescent="0.35">
      <c r="A21">
        <v>5</v>
      </c>
      <c r="B21" t="s">
        <v>1</v>
      </c>
      <c r="C21" t="s">
        <v>4</v>
      </c>
      <c r="D21" s="1">
        <v>45177</v>
      </c>
      <c r="E21">
        <v>6</v>
      </c>
      <c r="F21" s="3">
        <v>21.485714285714291</v>
      </c>
      <c r="G21" s="3">
        <v>5.8642857142857148</v>
      </c>
      <c r="H21" s="3">
        <v>20.607142857142858</v>
      </c>
      <c r="I21">
        <f t="shared" si="0"/>
        <v>82.100000000000009</v>
      </c>
      <c r="J21">
        <f t="shared" si="1"/>
        <v>288.5</v>
      </c>
    </row>
    <row r="22" spans="1:10" x14ac:dyDescent="0.35">
      <c r="A22">
        <v>6</v>
      </c>
      <c r="B22" t="s">
        <v>1</v>
      </c>
      <c r="C22" t="s">
        <v>4</v>
      </c>
      <c r="D22" s="1">
        <v>45191</v>
      </c>
      <c r="E22">
        <v>1</v>
      </c>
      <c r="F22" s="3">
        <v>17.399999999999999</v>
      </c>
      <c r="G22" s="3">
        <v>0.77857142857142847</v>
      </c>
      <c r="H22" s="3">
        <v>13.264285714285714</v>
      </c>
      <c r="I22">
        <f t="shared" si="0"/>
        <v>10.899999999999999</v>
      </c>
      <c r="J22">
        <f t="shared" si="1"/>
        <v>185.7</v>
      </c>
    </row>
    <row r="23" spans="1:10" x14ac:dyDescent="0.35">
      <c r="A23">
        <v>7</v>
      </c>
      <c r="B23" t="s">
        <v>1</v>
      </c>
      <c r="C23" t="s">
        <v>4</v>
      </c>
      <c r="D23" s="1">
        <v>45205</v>
      </c>
      <c r="E23">
        <v>0</v>
      </c>
      <c r="F23" s="3">
        <v>18.271428571428572</v>
      </c>
      <c r="G23" s="3">
        <v>0.6785714285714286</v>
      </c>
      <c r="H23" s="3">
        <v>14.835714285714287</v>
      </c>
      <c r="I23">
        <f t="shared" si="0"/>
        <v>9.5</v>
      </c>
      <c r="J23">
        <f t="shared" si="1"/>
        <v>207.70000000000002</v>
      </c>
    </row>
    <row r="24" spans="1:10" x14ac:dyDescent="0.35">
      <c r="A24">
        <v>8</v>
      </c>
      <c r="B24" t="s">
        <v>1</v>
      </c>
      <c r="C24" t="s">
        <v>4</v>
      </c>
      <c r="D24" s="1">
        <v>45219</v>
      </c>
      <c r="E24">
        <v>0</v>
      </c>
      <c r="F24" s="3">
        <v>11.450000000000001</v>
      </c>
      <c r="G24" s="3">
        <v>0</v>
      </c>
      <c r="H24" s="3">
        <v>3.2071428571428577</v>
      </c>
      <c r="I24">
        <f t="shared" si="0"/>
        <v>0</v>
      </c>
      <c r="J24">
        <f t="shared" si="1"/>
        <v>44.900000000000006</v>
      </c>
    </row>
    <row r="25" spans="1:10" x14ac:dyDescent="0.35">
      <c r="A25">
        <v>9</v>
      </c>
      <c r="B25" t="s">
        <v>1</v>
      </c>
      <c r="C25" t="s">
        <v>4</v>
      </c>
      <c r="D25" s="1">
        <v>45233</v>
      </c>
      <c r="E25">
        <v>0</v>
      </c>
      <c r="F25" s="3">
        <v>10.1</v>
      </c>
      <c r="G25" s="3">
        <v>0</v>
      </c>
      <c r="H25" s="3">
        <v>4.3071428571428578</v>
      </c>
      <c r="I25">
        <f t="shared" si="0"/>
        <v>0</v>
      </c>
      <c r="J25">
        <f t="shared" si="1"/>
        <v>60.300000000000011</v>
      </c>
    </row>
    <row r="26" spans="1:10" x14ac:dyDescent="0.35">
      <c r="A26">
        <v>10</v>
      </c>
      <c r="B26" t="s">
        <v>1</v>
      </c>
      <c r="C26" t="s">
        <v>4</v>
      </c>
      <c r="D26" s="1">
        <v>45408</v>
      </c>
      <c r="E26">
        <v>0</v>
      </c>
      <c r="F26" s="3">
        <v>14.185714285714285</v>
      </c>
      <c r="G26" s="3">
        <v>1.0285714285714287</v>
      </c>
      <c r="H26" s="3">
        <v>8.6142857142857139</v>
      </c>
      <c r="I26">
        <f t="shared" si="0"/>
        <v>14.400000000000002</v>
      </c>
      <c r="J26">
        <f t="shared" si="1"/>
        <v>120.6</v>
      </c>
    </row>
    <row r="27" spans="1:10" x14ac:dyDescent="0.35">
      <c r="A27">
        <v>11</v>
      </c>
      <c r="B27" t="s">
        <v>1</v>
      </c>
      <c r="C27" t="s">
        <v>4</v>
      </c>
      <c r="D27" s="1">
        <v>45422</v>
      </c>
      <c r="E27">
        <v>1</v>
      </c>
      <c r="F27" s="3">
        <v>19.314285714285713</v>
      </c>
      <c r="G27" s="3">
        <v>2.4428571428571426</v>
      </c>
      <c r="H27" s="3">
        <v>16.735714285714284</v>
      </c>
      <c r="I27">
        <f t="shared" si="0"/>
        <v>34.199999999999996</v>
      </c>
      <c r="J27">
        <f t="shared" si="1"/>
        <v>234.29999999999998</v>
      </c>
    </row>
    <row r="28" spans="1:10" x14ac:dyDescent="0.35">
      <c r="A28">
        <v>12</v>
      </c>
      <c r="B28" t="s">
        <v>1</v>
      </c>
      <c r="C28" t="s">
        <v>4</v>
      </c>
      <c r="D28" s="1">
        <v>45436</v>
      </c>
      <c r="E28">
        <v>2</v>
      </c>
      <c r="F28" s="3">
        <v>19.05</v>
      </c>
      <c r="G28" s="3">
        <v>2.8142857142857141</v>
      </c>
      <c r="H28" s="3">
        <v>16.264285714285712</v>
      </c>
      <c r="I28">
        <f t="shared" si="0"/>
        <v>39.4</v>
      </c>
      <c r="J28">
        <f t="shared" si="1"/>
        <v>227.7</v>
      </c>
    </row>
    <row r="29" spans="1:10" x14ac:dyDescent="0.35">
      <c r="A29">
        <v>13</v>
      </c>
      <c r="B29" t="s">
        <v>1</v>
      </c>
      <c r="C29" t="s">
        <v>4</v>
      </c>
      <c r="D29" s="1">
        <v>45450</v>
      </c>
      <c r="E29">
        <v>6</v>
      </c>
      <c r="F29" s="3">
        <v>19.457142857142859</v>
      </c>
      <c r="G29" s="3">
        <v>3.4499999999999997</v>
      </c>
      <c r="H29" s="3">
        <v>16.971428571428572</v>
      </c>
      <c r="I29">
        <f t="shared" si="0"/>
        <v>48.3</v>
      </c>
      <c r="J29">
        <f t="shared" si="1"/>
        <v>237.6</v>
      </c>
    </row>
    <row r="30" spans="1:10" x14ac:dyDescent="0.35">
      <c r="A30">
        <v>14</v>
      </c>
      <c r="B30" t="s">
        <v>1</v>
      </c>
      <c r="C30" t="s">
        <v>4</v>
      </c>
      <c r="D30" s="1">
        <v>45464</v>
      </c>
      <c r="E30">
        <v>25</v>
      </c>
      <c r="F30" s="3">
        <v>21.571428571428573</v>
      </c>
      <c r="G30" s="3">
        <v>6.5428571428571427</v>
      </c>
      <c r="H30" s="3">
        <v>20.75714285714286</v>
      </c>
      <c r="I30">
        <f t="shared" si="0"/>
        <v>91.6</v>
      </c>
      <c r="J30">
        <f t="shared" si="1"/>
        <v>290.60000000000002</v>
      </c>
    </row>
    <row r="31" spans="1:10" x14ac:dyDescent="0.35">
      <c r="A31">
        <v>15</v>
      </c>
      <c r="B31" t="s">
        <v>1</v>
      </c>
      <c r="C31" t="s">
        <v>4</v>
      </c>
      <c r="D31" s="1">
        <v>45478</v>
      </c>
      <c r="E31">
        <v>93</v>
      </c>
      <c r="F31" s="3">
        <v>23.857142857142858</v>
      </c>
      <c r="G31" s="3">
        <v>9.9785714285714295</v>
      </c>
      <c r="H31" s="3">
        <v>24.892857142857142</v>
      </c>
      <c r="I31">
        <f t="shared" si="0"/>
        <v>139.70000000000002</v>
      </c>
      <c r="J31">
        <f t="shared" si="1"/>
        <v>348.5</v>
      </c>
    </row>
    <row r="32" spans="1:10" x14ac:dyDescent="0.35">
      <c r="A32">
        <v>1</v>
      </c>
      <c r="B32" t="s">
        <v>2</v>
      </c>
      <c r="C32" t="s">
        <v>3</v>
      </c>
      <c r="D32" s="1">
        <v>45121</v>
      </c>
      <c r="E32">
        <v>3</v>
      </c>
      <c r="F32" s="3">
        <v>22.519841269841269</v>
      </c>
      <c r="G32" s="3">
        <v>7.4857142857142858</v>
      </c>
      <c r="H32" s="3">
        <v>22.485714285714288</v>
      </c>
      <c r="I32">
        <f t="shared" si="0"/>
        <v>104.8</v>
      </c>
      <c r="J32">
        <f t="shared" si="1"/>
        <v>314.8</v>
      </c>
    </row>
    <row r="33" spans="1:10" x14ac:dyDescent="0.35">
      <c r="A33">
        <v>2</v>
      </c>
      <c r="B33" t="s">
        <v>2</v>
      </c>
      <c r="C33" t="s">
        <v>3</v>
      </c>
      <c r="D33" s="1">
        <v>45135</v>
      </c>
      <c r="E33">
        <v>11</v>
      </c>
      <c r="F33" s="3">
        <v>22.107142857142861</v>
      </c>
      <c r="G33" s="3">
        <v>6.7357142857142867</v>
      </c>
      <c r="H33" s="3">
        <v>21.735714285714288</v>
      </c>
      <c r="I33">
        <f t="shared" si="0"/>
        <v>94.300000000000011</v>
      </c>
      <c r="J33">
        <f t="shared" si="1"/>
        <v>304.3</v>
      </c>
    </row>
    <row r="34" spans="1:10" x14ac:dyDescent="0.35">
      <c r="A34">
        <v>3</v>
      </c>
      <c r="B34" t="s">
        <v>2</v>
      </c>
      <c r="C34" t="s">
        <v>3</v>
      </c>
      <c r="D34" s="1">
        <v>45149</v>
      </c>
      <c r="E34">
        <v>6</v>
      </c>
      <c r="F34" s="3">
        <v>20.714285714285715</v>
      </c>
      <c r="G34" s="3">
        <v>4.2357142857142858</v>
      </c>
      <c r="H34" s="3">
        <v>19.235714285714284</v>
      </c>
      <c r="I34">
        <f t="shared" si="0"/>
        <v>59.3</v>
      </c>
      <c r="J34">
        <f t="shared" si="1"/>
        <v>269.29999999999995</v>
      </c>
    </row>
    <row r="35" spans="1:10" x14ac:dyDescent="0.35">
      <c r="A35">
        <v>4</v>
      </c>
      <c r="B35" t="s">
        <v>2</v>
      </c>
      <c r="C35" t="s">
        <v>3</v>
      </c>
      <c r="D35" s="1">
        <v>45163</v>
      </c>
      <c r="E35">
        <v>3</v>
      </c>
      <c r="F35" s="3">
        <v>20.559523809523807</v>
      </c>
      <c r="G35" s="3">
        <v>4.2785714285714294</v>
      </c>
      <c r="H35" s="3">
        <v>18.957142857142856</v>
      </c>
      <c r="I35">
        <f t="shared" si="0"/>
        <v>59.900000000000013</v>
      </c>
      <c r="J35">
        <f t="shared" si="1"/>
        <v>265.39999999999998</v>
      </c>
    </row>
    <row r="36" spans="1:10" x14ac:dyDescent="0.35">
      <c r="A36">
        <v>5</v>
      </c>
      <c r="B36" t="s">
        <v>2</v>
      </c>
      <c r="C36" t="s">
        <v>3</v>
      </c>
      <c r="D36" s="1">
        <v>45177</v>
      </c>
      <c r="E36">
        <v>5</v>
      </c>
      <c r="F36" s="3">
        <v>20.753968253968253</v>
      </c>
      <c r="G36" s="3">
        <v>4.7857142857142865</v>
      </c>
      <c r="H36" s="3">
        <v>19.321428571428573</v>
      </c>
      <c r="I36">
        <f t="shared" si="0"/>
        <v>67.000000000000014</v>
      </c>
      <c r="J36">
        <f t="shared" si="1"/>
        <v>270.5</v>
      </c>
    </row>
    <row r="37" spans="1:10" x14ac:dyDescent="0.35">
      <c r="A37">
        <v>6</v>
      </c>
      <c r="B37" t="s">
        <v>2</v>
      </c>
      <c r="C37" t="s">
        <v>3</v>
      </c>
      <c r="D37" s="1">
        <v>45191</v>
      </c>
      <c r="E37">
        <v>0</v>
      </c>
      <c r="F37" s="3">
        <v>15.674603174603174</v>
      </c>
      <c r="G37" s="3">
        <v>0</v>
      </c>
      <c r="H37" s="3">
        <v>10.185714285714285</v>
      </c>
      <c r="I37">
        <f t="shared" si="0"/>
        <v>0</v>
      </c>
      <c r="J37">
        <f t="shared" si="1"/>
        <v>142.6</v>
      </c>
    </row>
    <row r="38" spans="1:10" x14ac:dyDescent="0.35">
      <c r="A38">
        <v>7</v>
      </c>
      <c r="B38" t="s">
        <v>2</v>
      </c>
      <c r="C38" t="s">
        <v>3</v>
      </c>
      <c r="D38" s="1">
        <v>45205</v>
      </c>
      <c r="E38">
        <v>0</v>
      </c>
      <c r="F38" s="3">
        <v>17.257936507936506</v>
      </c>
      <c r="G38" s="3">
        <v>0.40714285714285708</v>
      </c>
      <c r="H38" s="3">
        <v>13.014285714285714</v>
      </c>
      <c r="I38">
        <f t="shared" si="0"/>
        <v>5.6999999999999993</v>
      </c>
      <c r="J38">
        <f t="shared" si="1"/>
        <v>182.2</v>
      </c>
    </row>
    <row r="39" spans="1:10" x14ac:dyDescent="0.35">
      <c r="A39">
        <v>8</v>
      </c>
      <c r="B39" t="s">
        <v>2</v>
      </c>
      <c r="C39" t="s">
        <v>3</v>
      </c>
      <c r="D39" s="1">
        <v>45219</v>
      </c>
      <c r="E39">
        <v>0</v>
      </c>
      <c r="F39" s="3">
        <v>9.988095238095239</v>
      </c>
      <c r="G39" s="3">
        <v>0</v>
      </c>
      <c r="H39" s="3">
        <v>1.5928571428571427</v>
      </c>
      <c r="I39">
        <f t="shared" si="0"/>
        <v>0</v>
      </c>
      <c r="J39">
        <f t="shared" si="1"/>
        <v>22.299999999999997</v>
      </c>
    </row>
    <row r="40" spans="1:10" x14ac:dyDescent="0.35">
      <c r="A40">
        <v>9</v>
      </c>
      <c r="B40" t="s">
        <v>2</v>
      </c>
      <c r="C40" t="s">
        <v>3</v>
      </c>
      <c r="D40" s="1">
        <v>45233</v>
      </c>
      <c r="E40">
        <v>0</v>
      </c>
      <c r="F40" s="3">
        <v>9.5595238095238084</v>
      </c>
      <c r="G40" s="3">
        <v>7.1428571428571435E-3</v>
      </c>
      <c r="H40" s="3">
        <v>4.2357142857142858</v>
      </c>
      <c r="I40">
        <f t="shared" si="0"/>
        <v>0.1</v>
      </c>
      <c r="J40">
        <f t="shared" si="1"/>
        <v>59.3</v>
      </c>
    </row>
    <row r="41" spans="1:10" x14ac:dyDescent="0.35">
      <c r="A41">
        <v>10</v>
      </c>
      <c r="B41" t="s">
        <v>2</v>
      </c>
      <c r="C41" t="s">
        <v>3</v>
      </c>
      <c r="D41" s="1">
        <v>45408</v>
      </c>
      <c r="E41">
        <v>0</v>
      </c>
      <c r="F41" s="3">
        <v>11.531746031746033</v>
      </c>
      <c r="G41" s="3">
        <v>4.9999999999999996E-2</v>
      </c>
      <c r="H41" s="3">
        <v>5.3285714285714283</v>
      </c>
      <c r="I41">
        <f t="shared" si="0"/>
        <v>0.7</v>
      </c>
      <c r="J41">
        <f t="shared" si="1"/>
        <v>74.599999999999994</v>
      </c>
    </row>
    <row r="42" spans="1:10" x14ac:dyDescent="0.35">
      <c r="A42">
        <v>11</v>
      </c>
      <c r="B42" t="s">
        <v>2</v>
      </c>
      <c r="C42" t="s">
        <v>3</v>
      </c>
      <c r="D42" s="1">
        <v>45422</v>
      </c>
      <c r="E42">
        <v>0</v>
      </c>
      <c r="F42" s="3">
        <v>18.210317460317462</v>
      </c>
      <c r="G42" s="3">
        <v>2.3642857142857139</v>
      </c>
      <c r="H42" s="3">
        <v>14.728571428571428</v>
      </c>
      <c r="I42">
        <f t="shared" si="0"/>
        <v>33.099999999999994</v>
      </c>
      <c r="J42">
        <f t="shared" si="1"/>
        <v>206.2</v>
      </c>
    </row>
    <row r="43" spans="1:10" x14ac:dyDescent="0.35">
      <c r="A43">
        <v>12</v>
      </c>
      <c r="B43" t="s">
        <v>2</v>
      </c>
      <c r="C43" t="s">
        <v>3</v>
      </c>
      <c r="D43" s="1">
        <v>45436</v>
      </c>
      <c r="E43">
        <v>0</v>
      </c>
      <c r="F43" s="3">
        <v>18.638888888888889</v>
      </c>
      <c r="G43" s="3">
        <v>2.75</v>
      </c>
      <c r="H43" s="3">
        <v>15.542857142857143</v>
      </c>
      <c r="I43">
        <f t="shared" si="0"/>
        <v>38.5</v>
      </c>
      <c r="J43">
        <f t="shared" si="1"/>
        <v>217.6</v>
      </c>
    </row>
    <row r="44" spans="1:10" x14ac:dyDescent="0.35">
      <c r="A44">
        <v>13</v>
      </c>
      <c r="B44" t="s">
        <v>2</v>
      </c>
      <c r="C44" t="s">
        <v>3</v>
      </c>
      <c r="D44" s="1">
        <v>45450</v>
      </c>
      <c r="E44">
        <v>0</v>
      </c>
      <c r="F44" s="3">
        <v>18.388888888888886</v>
      </c>
      <c r="G44" s="3">
        <v>2.4928571428571429</v>
      </c>
      <c r="H44" s="3">
        <v>15.042857142857141</v>
      </c>
      <c r="I44">
        <f t="shared" si="0"/>
        <v>34.9</v>
      </c>
      <c r="J44">
        <f t="shared" si="1"/>
        <v>210.59999999999997</v>
      </c>
    </row>
    <row r="45" spans="1:10" x14ac:dyDescent="0.35">
      <c r="A45">
        <v>14</v>
      </c>
      <c r="B45" t="s">
        <v>2</v>
      </c>
      <c r="C45" t="s">
        <v>3</v>
      </c>
      <c r="D45" s="1">
        <v>45464</v>
      </c>
      <c r="E45">
        <v>0</v>
      </c>
      <c r="F45" s="3">
        <v>21.043650793650791</v>
      </c>
      <c r="G45" s="3">
        <v>6.2714285714285714</v>
      </c>
      <c r="H45" s="3">
        <v>19.828571428571429</v>
      </c>
      <c r="I45">
        <f t="shared" si="0"/>
        <v>87.8</v>
      </c>
      <c r="J45">
        <f t="shared" si="1"/>
        <v>277.60000000000002</v>
      </c>
    </row>
    <row r="46" spans="1:10" x14ac:dyDescent="0.35">
      <c r="A46">
        <v>15</v>
      </c>
      <c r="B46" t="s">
        <v>2</v>
      </c>
      <c r="C46" t="s">
        <v>3</v>
      </c>
      <c r="D46" s="1">
        <v>45478</v>
      </c>
      <c r="E46">
        <v>1</v>
      </c>
      <c r="F46" s="3">
        <v>22.210317460317462</v>
      </c>
      <c r="G46" s="3">
        <v>7.1714285714285717</v>
      </c>
      <c r="H46" s="3">
        <v>21.942857142857143</v>
      </c>
      <c r="I46">
        <f t="shared" si="0"/>
        <v>100.4</v>
      </c>
      <c r="J46">
        <f t="shared" si="1"/>
        <v>307.2</v>
      </c>
    </row>
    <row r="47" spans="1:10" x14ac:dyDescent="0.35">
      <c r="A47">
        <v>1</v>
      </c>
      <c r="B47" t="s">
        <v>2</v>
      </c>
      <c r="C47" t="s">
        <v>4</v>
      </c>
      <c r="D47" s="1">
        <v>45121</v>
      </c>
      <c r="E47">
        <v>5</v>
      </c>
      <c r="F47" s="3">
        <v>22.519841269841269</v>
      </c>
      <c r="G47" s="3">
        <v>7.4857142857142858</v>
      </c>
      <c r="H47" s="3">
        <v>22.485714285714288</v>
      </c>
      <c r="I47">
        <f t="shared" si="0"/>
        <v>104.8</v>
      </c>
      <c r="J47">
        <f t="shared" si="1"/>
        <v>314.8</v>
      </c>
    </row>
    <row r="48" spans="1:10" x14ac:dyDescent="0.35">
      <c r="A48">
        <v>2</v>
      </c>
      <c r="B48" t="s">
        <v>2</v>
      </c>
      <c r="C48" t="s">
        <v>4</v>
      </c>
      <c r="D48" s="1">
        <v>45135</v>
      </c>
      <c r="E48">
        <v>39</v>
      </c>
      <c r="F48" s="3">
        <v>22.107142857142861</v>
      </c>
      <c r="G48" s="3">
        <v>6.7357142857142867</v>
      </c>
      <c r="H48" s="3">
        <v>21.735714285714288</v>
      </c>
      <c r="I48">
        <f t="shared" si="0"/>
        <v>94.300000000000011</v>
      </c>
      <c r="J48">
        <f t="shared" si="1"/>
        <v>304.3</v>
      </c>
    </row>
    <row r="49" spans="1:10" x14ac:dyDescent="0.35">
      <c r="A49">
        <v>3</v>
      </c>
      <c r="B49" t="s">
        <v>2</v>
      </c>
      <c r="C49" t="s">
        <v>4</v>
      </c>
      <c r="D49" s="1">
        <v>45149</v>
      </c>
      <c r="E49">
        <v>7</v>
      </c>
      <c r="F49" s="3">
        <v>20.714285714285715</v>
      </c>
      <c r="G49" s="3">
        <v>4.2357142857142858</v>
      </c>
      <c r="H49" s="3">
        <v>19.235714285714284</v>
      </c>
      <c r="I49">
        <f t="shared" si="0"/>
        <v>59.3</v>
      </c>
      <c r="J49">
        <f t="shared" si="1"/>
        <v>269.29999999999995</v>
      </c>
    </row>
    <row r="50" spans="1:10" x14ac:dyDescent="0.35">
      <c r="A50">
        <v>4</v>
      </c>
      <c r="B50" t="s">
        <v>2</v>
      </c>
      <c r="C50" t="s">
        <v>4</v>
      </c>
      <c r="D50" s="1">
        <v>45163</v>
      </c>
      <c r="E50">
        <v>13</v>
      </c>
      <c r="F50" s="3">
        <v>20.559523809523807</v>
      </c>
      <c r="G50" s="3">
        <v>4.2785714285714294</v>
      </c>
      <c r="H50" s="3">
        <v>18.957142857142856</v>
      </c>
      <c r="I50">
        <f t="shared" si="0"/>
        <v>59.900000000000013</v>
      </c>
      <c r="J50">
        <f t="shared" si="1"/>
        <v>265.39999999999998</v>
      </c>
    </row>
    <row r="51" spans="1:10" x14ac:dyDescent="0.35">
      <c r="A51">
        <v>5</v>
      </c>
      <c r="B51" t="s">
        <v>2</v>
      </c>
      <c r="C51" t="s">
        <v>4</v>
      </c>
      <c r="D51" s="1">
        <v>45177</v>
      </c>
      <c r="E51">
        <v>0</v>
      </c>
      <c r="F51" s="3">
        <v>20.753968253968253</v>
      </c>
      <c r="G51" s="3">
        <v>4.7857142857142865</v>
      </c>
      <c r="H51" s="3">
        <v>19.321428571428573</v>
      </c>
      <c r="I51">
        <f t="shared" si="0"/>
        <v>67.000000000000014</v>
      </c>
      <c r="J51">
        <f t="shared" si="1"/>
        <v>270.5</v>
      </c>
    </row>
    <row r="52" spans="1:10" x14ac:dyDescent="0.35">
      <c r="A52">
        <v>6</v>
      </c>
      <c r="B52" t="s">
        <v>2</v>
      </c>
      <c r="C52" t="s">
        <v>4</v>
      </c>
      <c r="D52" s="1">
        <v>45191</v>
      </c>
      <c r="E52">
        <v>0</v>
      </c>
      <c r="F52" s="3">
        <v>15.674603174603174</v>
      </c>
      <c r="G52" s="3">
        <v>0</v>
      </c>
      <c r="H52" s="3">
        <v>10.185714285714285</v>
      </c>
      <c r="I52">
        <f t="shared" si="0"/>
        <v>0</v>
      </c>
      <c r="J52">
        <f t="shared" si="1"/>
        <v>142.6</v>
      </c>
    </row>
    <row r="53" spans="1:10" x14ac:dyDescent="0.35">
      <c r="A53">
        <v>7</v>
      </c>
      <c r="B53" t="s">
        <v>2</v>
      </c>
      <c r="C53" t="s">
        <v>4</v>
      </c>
      <c r="D53" s="1">
        <v>45205</v>
      </c>
      <c r="E53">
        <v>0</v>
      </c>
      <c r="F53" s="3">
        <v>17.257936507936506</v>
      </c>
      <c r="G53" s="3">
        <v>0.40714285714285708</v>
      </c>
      <c r="H53" s="3">
        <v>13.014285714285714</v>
      </c>
      <c r="I53">
        <f t="shared" si="0"/>
        <v>5.6999999999999993</v>
      </c>
      <c r="J53">
        <f t="shared" si="1"/>
        <v>182.2</v>
      </c>
    </row>
    <row r="54" spans="1:10" x14ac:dyDescent="0.35">
      <c r="A54">
        <v>8</v>
      </c>
      <c r="B54" t="s">
        <v>2</v>
      </c>
      <c r="C54" t="s">
        <v>4</v>
      </c>
      <c r="D54" s="1">
        <v>45219</v>
      </c>
      <c r="E54">
        <v>0</v>
      </c>
      <c r="F54" s="3">
        <v>9.988095238095239</v>
      </c>
      <c r="G54" s="3">
        <v>0</v>
      </c>
      <c r="H54" s="3">
        <v>1.5928571428571427</v>
      </c>
      <c r="I54">
        <f t="shared" si="0"/>
        <v>0</v>
      </c>
      <c r="J54">
        <f t="shared" si="1"/>
        <v>22.299999999999997</v>
      </c>
    </row>
    <row r="55" spans="1:10" x14ac:dyDescent="0.35">
      <c r="A55">
        <v>9</v>
      </c>
      <c r="B55" t="s">
        <v>2</v>
      </c>
      <c r="C55" t="s">
        <v>4</v>
      </c>
      <c r="D55" s="1">
        <v>45233</v>
      </c>
      <c r="E55">
        <v>0</v>
      </c>
      <c r="F55" s="3">
        <v>9.5595238095238084</v>
      </c>
      <c r="G55" s="3">
        <v>7.1428571428571435E-3</v>
      </c>
      <c r="H55" s="3">
        <v>4.2357142857142858</v>
      </c>
      <c r="I55">
        <f t="shared" si="0"/>
        <v>0.1</v>
      </c>
      <c r="J55">
        <f t="shared" si="1"/>
        <v>59.3</v>
      </c>
    </row>
    <row r="56" spans="1:10" x14ac:dyDescent="0.35">
      <c r="A56">
        <v>10</v>
      </c>
      <c r="B56" t="s">
        <v>2</v>
      </c>
      <c r="C56" t="s">
        <v>4</v>
      </c>
      <c r="D56" s="1">
        <v>45408</v>
      </c>
      <c r="E56">
        <v>0</v>
      </c>
      <c r="F56" s="3">
        <v>11.531746031746033</v>
      </c>
      <c r="G56" s="3">
        <v>4.9999999999999996E-2</v>
      </c>
      <c r="H56" s="3">
        <v>5.3285714285714283</v>
      </c>
      <c r="I56">
        <f t="shared" si="0"/>
        <v>0.7</v>
      </c>
      <c r="J56">
        <f t="shared" si="1"/>
        <v>74.599999999999994</v>
      </c>
    </row>
    <row r="57" spans="1:10" x14ac:dyDescent="0.35">
      <c r="A57">
        <v>11</v>
      </c>
      <c r="B57" t="s">
        <v>2</v>
      </c>
      <c r="C57" t="s">
        <v>4</v>
      </c>
      <c r="D57" s="1">
        <v>45422</v>
      </c>
      <c r="E57">
        <v>0</v>
      </c>
      <c r="F57" s="3">
        <v>18.210317460317462</v>
      </c>
      <c r="G57" s="3">
        <v>2.3642857142857139</v>
      </c>
      <c r="H57" s="3">
        <v>14.728571428571428</v>
      </c>
      <c r="I57">
        <f t="shared" si="0"/>
        <v>33.099999999999994</v>
      </c>
      <c r="J57">
        <f t="shared" si="1"/>
        <v>206.2</v>
      </c>
    </row>
    <row r="58" spans="1:10" x14ac:dyDescent="0.35">
      <c r="A58">
        <v>12</v>
      </c>
      <c r="B58" t="s">
        <v>2</v>
      </c>
      <c r="C58" t="s">
        <v>4</v>
      </c>
      <c r="D58" s="1">
        <v>45436</v>
      </c>
      <c r="E58">
        <v>0</v>
      </c>
      <c r="F58" s="3">
        <v>18.638888888888889</v>
      </c>
      <c r="G58" s="3">
        <v>2.75</v>
      </c>
      <c r="H58" s="3">
        <v>15.542857142857143</v>
      </c>
      <c r="I58">
        <f t="shared" si="0"/>
        <v>38.5</v>
      </c>
      <c r="J58">
        <f t="shared" si="1"/>
        <v>217.6</v>
      </c>
    </row>
    <row r="59" spans="1:10" x14ac:dyDescent="0.35">
      <c r="A59">
        <v>13</v>
      </c>
      <c r="B59" t="s">
        <v>2</v>
      </c>
      <c r="C59" t="s">
        <v>4</v>
      </c>
      <c r="D59" s="1">
        <v>45450</v>
      </c>
      <c r="E59">
        <v>2</v>
      </c>
      <c r="F59" s="3">
        <v>18.388888888888886</v>
      </c>
      <c r="G59" s="3">
        <v>2.4928571428571429</v>
      </c>
      <c r="H59" s="3">
        <v>15.042857142857141</v>
      </c>
      <c r="I59">
        <f t="shared" si="0"/>
        <v>34.9</v>
      </c>
      <c r="J59">
        <f t="shared" si="1"/>
        <v>210.59999999999997</v>
      </c>
    </row>
    <row r="60" spans="1:10" x14ac:dyDescent="0.35">
      <c r="A60">
        <v>14</v>
      </c>
      <c r="B60" t="s">
        <v>2</v>
      </c>
      <c r="C60" t="s">
        <v>4</v>
      </c>
      <c r="D60" s="1">
        <v>45464</v>
      </c>
      <c r="E60">
        <v>5</v>
      </c>
      <c r="F60" s="3">
        <v>21.043650793650791</v>
      </c>
      <c r="G60" s="3">
        <v>6.2714285714285714</v>
      </c>
      <c r="H60" s="3">
        <v>19.828571428571429</v>
      </c>
      <c r="I60">
        <f t="shared" si="0"/>
        <v>87.8</v>
      </c>
      <c r="J60">
        <f t="shared" si="1"/>
        <v>277.60000000000002</v>
      </c>
    </row>
    <row r="61" spans="1:10" x14ac:dyDescent="0.35">
      <c r="A61">
        <v>15</v>
      </c>
      <c r="B61" t="s">
        <v>2</v>
      </c>
      <c r="C61" t="s">
        <v>4</v>
      </c>
      <c r="D61" s="1">
        <v>45478</v>
      </c>
      <c r="E61">
        <v>7</v>
      </c>
      <c r="F61" s="3">
        <v>22.210317460317462</v>
      </c>
      <c r="G61" s="3">
        <v>7.1714285714285717</v>
      </c>
      <c r="H61" s="3">
        <v>21.942857142857143</v>
      </c>
      <c r="I61">
        <f t="shared" si="0"/>
        <v>100.4</v>
      </c>
      <c r="J61">
        <f t="shared" si="1"/>
        <v>307.2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C8917-CE89-4EDB-A220-AE4353D8D614}">
  <dimension ref="A1:B11"/>
  <sheetViews>
    <sheetView tabSelected="1" workbookViewId="0">
      <selection activeCell="B11" sqref="B11"/>
    </sheetView>
  </sheetViews>
  <sheetFormatPr defaultRowHeight="14.5" x14ac:dyDescent="0.35"/>
  <cols>
    <col min="2" max="2" width="61" customWidth="1"/>
  </cols>
  <sheetData>
    <row r="1" spans="1:2" x14ac:dyDescent="0.35">
      <c r="A1" s="2" t="s">
        <v>5</v>
      </c>
      <c r="B1" s="2" t="s">
        <v>6</v>
      </c>
    </row>
    <row r="2" spans="1:2" x14ac:dyDescent="0.35">
      <c r="A2" t="s">
        <v>0</v>
      </c>
      <c r="B2" t="s">
        <v>11</v>
      </c>
    </row>
    <row r="3" spans="1:2" x14ac:dyDescent="0.35">
      <c r="A3" t="s">
        <v>12</v>
      </c>
      <c r="B3" t="s">
        <v>7</v>
      </c>
    </row>
    <row r="4" spans="1:2" x14ac:dyDescent="0.35">
      <c r="A4" t="s">
        <v>13</v>
      </c>
      <c r="B4" t="s">
        <v>8</v>
      </c>
    </row>
    <row r="5" spans="1:2" x14ac:dyDescent="0.35">
      <c r="A5" t="s">
        <v>14</v>
      </c>
      <c r="B5" t="s">
        <v>9</v>
      </c>
    </row>
    <row r="6" spans="1:2" x14ac:dyDescent="0.35">
      <c r="A6" t="s">
        <v>15</v>
      </c>
      <c r="B6" t="s">
        <v>10</v>
      </c>
    </row>
    <row r="7" spans="1:2" x14ac:dyDescent="0.35">
      <c r="A7" t="s">
        <v>17</v>
      </c>
      <c r="B7" t="s">
        <v>25</v>
      </c>
    </row>
    <row r="8" spans="1:2" x14ac:dyDescent="0.35">
      <c r="A8" t="s">
        <v>18</v>
      </c>
      <c r="B8" t="s">
        <v>23</v>
      </c>
    </row>
    <row r="9" spans="1:2" x14ac:dyDescent="0.35">
      <c r="A9" t="s">
        <v>19</v>
      </c>
      <c r="B9" t="s">
        <v>24</v>
      </c>
    </row>
    <row r="10" spans="1:2" x14ac:dyDescent="0.35">
      <c r="A10" t="s">
        <v>20</v>
      </c>
      <c r="B10" t="s">
        <v>27</v>
      </c>
    </row>
    <row r="11" spans="1:2" x14ac:dyDescent="0.35">
      <c r="A11" t="s">
        <v>21</v>
      </c>
      <c r="B11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count_data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Zeiger, Benjamin</dc:creator>
  <cp:lastModifiedBy>Zeiger, Benjamin</cp:lastModifiedBy>
  <dcterms:created xsi:type="dcterms:W3CDTF">2025-10-28T18:02:35Z</dcterms:created>
  <dcterms:modified xsi:type="dcterms:W3CDTF">2025-11-30T22:13:24Z</dcterms:modified>
</cp:coreProperties>
</file>